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פרמטרים" sheetId="1" state="visible" r:id="rId3"/>
    <sheet name="חישוב חודשי" sheetId="2" state="visible" r:id="rId4"/>
    <sheet name="תרחישים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4" authorId="0">
      <text>
        <r>
          <rPr>
            <sz val="10"/>
            <rFont val="FreeSans"/>
            <family val="2"/>
          </rPr>
          <t xml:space="preserve">סה"כ חודשי מוגבל בתקרה השנתית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<sst xmlns="http://schemas.openxmlformats.org/spreadsheetml/2006/main" count="56" uniqueCount="55">
  <si>
    <t xml:space="preserve">מחשבון תגמול מבוסס-ערך — Gainsharing / חלק ברווח</t>
  </si>
  <si>
    <t xml:space="preserve">מקרא: תאים צהובים עם טקסט כחול = קלט לעריכה. שחור = נוסחה. הערכים הם דוגמה בלבד — להחליף בנתוני הלקוח.</t>
  </si>
  <si>
    <t xml:space="preserve">פרמטר</t>
  </si>
  <si>
    <t xml:space="preserve">ערך</t>
  </si>
  <si>
    <t xml:space="preserve">הסבר</t>
  </si>
  <si>
    <t xml:space="preserve">Retainer — תשלום בסיס חודשי</t>
  </si>
  <si>
    <t xml:space="preserve">רצפה: משולם בכל חודש גם בלי שיפור. 0 = אין רצפה.</t>
  </si>
  <si>
    <t xml:space="preserve">אחוז חלוקה מהדלתא</t>
  </si>
  <si>
    <t xml:space="preserve">החלק של היועץ ברווח הגולמי שמעל הסף.</t>
  </si>
  <si>
    <t xml:space="preserve">Hurdle — סף שיפור</t>
  </si>
  <si>
    <t xml:space="preserve">שיפור מתחת לסף נחשב רעש ולא מתוגמל.</t>
  </si>
  <si>
    <t xml:space="preserve">מקדם שוק / אינפלציה לבייסליין</t>
  </si>
  <si>
    <t xml:space="preserve">מנרמל את בייסליין אשתקד לתנאי השנה.</t>
  </si>
  <si>
    <t xml:space="preserve">תקרה חודשית לתשלום</t>
  </si>
  <si>
    <t xml:space="preserve">כולל retainer.</t>
  </si>
  <si>
    <t xml:space="preserve">תקרה שנתית לתשלום</t>
  </si>
  <si>
    <t xml:space="preserve">מגבילה את סך התשלום בשנה.</t>
  </si>
  <si>
    <t xml:space="preserve">חודש</t>
  </si>
  <si>
    <t xml:space="preserve">רווח גולמי — אותו חודש אשתקד (₪)</t>
  </si>
  <si>
    <t xml:space="preserve">החרגה (1=אירוע חיצוני)</t>
  </si>
  <si>
    <t xml:space="preserve">בייסליין מנורמל (₪)</t>
  </si>
  <si>
    <t xml:space="preserve">רווח גולמי בפועל (₪)</t>
  </si>
  <si>
    <t xml:space="preserve">סף לתגמול (₪)</t>
  </si>
  <si>
    <t xml:space="preserve">דלתא מעל הסף (₪)</t>
  </si>
  <si>
    <t xml:space="preserve">רכיב משתנה (₪)</t>
  </si>
  <si>
    <t xml:space="preserve">תשלום ליועץ (₪)</t>
  </si>
  <si>
    <t xml:space="preserve">שיפור ללקוח מעל בייסליין (₪)</t>
  </si>
  <si>
    <t xml:space="preserve">נשאר ללקוח אחרי תשלום (₪)</t>
  </si>
  <si>
    <t xml:space="preserve">ינואר</t>
  </si>
  <si>
    <t xml:space="preserve">פברואר</t>
  </si>
  <si>
    <t xml:space="preserve">מרץ</t>
  </si>
  <si>
    <t xml:space="preserve">אפריל</t>
  </si>
  <si>
    <t xml:space="preserve">מאי</t>
  </si>
  <si>
    <t xml:space="preserve">יוני</t>
  </si>
  <si>
    <t xml:space="preserve">יולי</t>
  </si>
  <si>
    <t xml:space="preserve">אוגוסט</t>
  </si>
  <si>
    <t xml:space="preserve">ספטמבר</t>
  </si>
  <si>
    <t xml:space="preserve">אוקטובר</t>
  </si>
  <si>
    <t xml:space="preserve">נובמבר</t>
  </si>
  <si>
    <t xml:space="preserve">דצמבר</t>
  </si>
  <si>
    <t xml:space="preserve">סה"כ שנתי</t>
  </si>
  <si>
    <t xml:space="preserve">חודש עם רווח בפועל 0 = טרם נמדד; משולם retainer בלבד. החרגה=1 מבטלת את הרכיב המשתנה לאותו חודש.</t>
  </si>
  <si>
    <t xml:space="preserve">נתוני הדוגמה פיקטיביים — להחליף בנתוני קופה / P&amp;L של הלקוח.</t>
  </si>
  <si>
    <t xml:space="preserve">סימולציית תרחישים — שנה מלאה מול בייסליין מנורמל</t>
  </si>
  <si>
    <t xml:space="preserve">תרחיש</t>
  </si>
  <si>
    <t xml:space="preserve">פסימי</t>
  </si>
  <si>
    <t xml:space="preserve">בסיס</t>
  </si>
  <si>
    <t xml:space="preserve">אופטימי</t>
  </si>
  <si>
    <t xml:space="preserve">שיפור ברווח גולמי מול בייסליין מנורמל</t>
  </si>
  <si>
    <t xml:space="preserve">שיפור שנתי ללקוח (₪)</t>
  </si>
  <si>
    <t xml:space="preserve">תשלום שנתי ליועץ (₪)</t>
  </si>
  <si>
    <t xml:space="preserve">מתוכו retainer (₪)</t>
  </si>
  <si>
    <t xml:space="preserve">חלק היועץ מהשיפור</t>
  </si>
  <si>
    <t xml:space="preserve">בדיקת סבירות: בתרחיש פסימי הלקוח עלול לשלם retainer בלי שיפור. ודא ש'נשאר ללקוח' חיובי בתרחיש הבסיס.</t>
  </si>
  <si>
    <t xml:space="preserve">חישוב עזר לפי חודש (לא לעריכה)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</si>
</sst>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₪#,##0;&quot;(₪&quot;#,##0\);\-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3000</v>
      </c>
      <c r="C5" s="6" t="s">
        <v>6</v>
      </c>
    </row>
    <row r="6" customFormat="false" ht="15" hidden="false" customHeight="false" outlineLevel="0" collapsed="false">
      <c r="A6" s="4" t="s">
        <v>7</v>
      </c>
      <c r="B6" s="7" t="n">
        <v>0.2</v>
      </c>
      <c r="C6" s="6" t="s">
        <v>8</v>
      </c>
    </row>
    <row r="7" customFormat="false" ht="15" hidden="false" customHeight="false" outlineLevel="0" collapsed="false">
      <c r="A7" s="4" t="s">
        <v>9</v>
      </c>
      <c r="B7" s="7" t="n">
        <v>0.03</v>
      </c>
      <c r="C7" s="6" t="s">
        <v>10</v>
      </c>
    </row>
    <row r="8" customFormat="false" ht="15" hidden="false" customHeight="false" outlineLevel="0" collapsed="false">
      <c r="A8" s="4" t="s">
        <v>11</v>
      </c>
      <c r="B8" s="7" t="n">
        <v>0.02</v>
      </c>
      <c r="C8" s="6" t="s">
        <v>12</v>
      </c>
    </row>
    <row r="9" customFormat="false" ht="15" hidden="false" customHeight="false" outlineLevel="0" collapsed="false">
      <c r="A9" s="4" t="s">
        <v>13</v>
      </c>
      <c r="B9" s="5" t="n">
        <v>15000</v>
      </c>
      <c r="C9" s="6" t="s">
        <v>14</v>
      </c>
    </row>
    <row r="10" customFormat="false" ht="15" hidden="false" customHeight="false" outlineLevel="0" collapsed="false">
      <c r="A10" s="4" t="s">
        <v>15</v>
      </c>
      <c r="B10" s="5" t="n">
        <v>120000</v>
      </c>
      <c r="C10" s="6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1" min="2" style="0" width="17"/>
  </cols>
  <sheetData>
    <row r="1" customFormat="false" ht="45" hidden="false" customHeight="true" outlineLevel="0" collapsed="false">
      <c r="A1" s="8" t="s">
        <v>17</v>
      </c>
      <c r="B1" s="8" t="s">
        <v>18</v>
      </c>
      <c r="C1" s="8" t="s">
        <v>19</v>
      </c>
      <c r="D1" s="8" t="s">
        <v>20</v>
      </c>
      <c r="E1" s="8" t="s">
        <v>21</v>
      </c>
      <c r="F1" s="8" t="s">
        <v>22</v>
      </c>
      <c r="G1" s="8" t="s">
        <v>23</v>
      </c>
      <c r="H1" s="8" t="s">
        <v>24</v>
      </c>
      <c r="I1" s="8" t="s">
        <v>25</v>
      </c>
      <c r="J1" s="8" t="s">
        <v>26</v>
      </c>
      <c r="K1" s="8" t="s">
        <v>27</v>
      </c>
    </row>
    <row r="2" customFormat="false" ht="15" hidden="false" customHeight="false" outlineLevel="0" collapsed="false">
      <c r="A2" s="9" t="s">
        <v>28</v>
      </c>
      <c r="B2" s="5" t="n">
        <v>62000</v>
      </c>
      <c r="C2" s="10" t="n">
        <v>0</v>
      </c>
      <c r="D2" s="11" t="n">
        <f aca="false">B2*(1+פרמטרים!$B$8)</f>
        <v>63240</v>
      </c>
      <c r="E2" s="5" t="n">
        <v>63000</v>
      </c>
      <c r="F2" s="11" t="n">
        <f aca="false">D2*(1+פרמטרים!$B$7)</f>
        <v>65137.2</v>
      </c>
      <c r="G2" s="11" t="n">
        <f aca="false">IF(OR(C2=1,E2=0),0,MAX(0,E2-F2))</f>
        <v>0</v>
      </c>
      <c r="H2" s="11" t="n">
        <f aca="false">פרמטרים!$B$6*G2</f>
        <v>0</v>
      </c>
      <c r="I2" s="11" t="n">
        <f aca="false">MIN(פרמטרים!$B$9,פרמטרים!$B$5+H2)</f>
        <v>3000</v>
      </c>
      <c r="J2" s="11" t="n">
        <f aca="false">IF(E2=0,0,E2-D2)</f>
        <v>-240</v>
      </c>
      <c r="K2" s="11" t="n">
        <f aca="false">J2-I2</f>
        <v>-3240</v>
      </c>
    </row>
    <row r="3" customFormat="false" ht="15" hidden="false" customHeight="false" outlineLevel="0" collapsed="false">
      <c r="A3" s="9" t="s">
        <v>29</v>
      </c>
      <c r="B3" s="5" t="n">
        <v>60000</v>
      </c>
      <c r="C3" s="10" t="n">
        <v>0</v>
      </c>
      <c r="D3" s="11" t="n">
        <f aca="false">B3*(1+פרמטרים!$B$8)</f>
        <v>61200</v>
      </c>
      <c r="E3" s="5" t="n">
        <v>62500</v>
      </c>
      <c r="F3" s="11" t="n">
        <f aca="false">D3*(1+פרמטרים!$B$7)</f>
        <v>63036</v>
      </c>
      <c r="G3" s="11" t="n">
        <f aca="false">IF(OR(C3=1,E3=0),0,MAX(0,E3-F3))</f>
        <v>0</v>
      </c>
      <c r="H3" s="11" t="n">
        <f aca="false">פרמטרים!$B$6*G3</f>
        <v>0</v>
      </c>
      <c r="I3" s="11" t="n">
        <f aca="false">MIN(פרמטרים!$B$9,פרמטרים!$B$5+H3)</f>
        <v>3000</v>
      </c>
      <c r="J3" s="11" t="n">
        <f aca="false">IF(E3=0,0,E3-D3)</f>
        <v>1300</v>
      </c>
      <c r="K3" s="11" t="n">
        <f aca="false">J3-I3</f>
        <v>-1700</v>
      </c>
    </row>
    <row r="4" customFormat="false" ht="15" hidden="false" customHeight="false" outlineLevel="0" collapsed="false">
      <c r="A4" s="9" t="s">
        <v>30</v>
      </c>
      <c r="B4" s="5" t="n">
        <v>68000</v>
      </c>
      <c r="C4" s="10" t="n">
        <v>0</v>
      </c>
      <c r="D4" s="11" t="n">
        <f aca="false">B4*(1+פרמטרים!$B$8)</f>
        <v>69360</v>
      </c>
      <c r="E4" s="5" t="n">
        <v>71000</v>
      </c>
      <c r="F4" s="11" t="n">
        <f aca="false">D4*(1+פרמטרים!$B$7)</f>
        <v>71440.8</v>
      </c>
      <c r="G4" s="11" t="n">
        <f aca="false">IF(OR(C4=1,E4=0),0,MAX(0,E4-F4))</f>
        <v>0</v>
      </c>
      <c r="H4" s="11" t="n">
        <f aca="false">פרמטרים!$B$6*G4</f>
        <v>0</v>
      </c>
      <c r="I4" s="11" t="n">
        <f aca="false">MIN(פרמטרים!$B$9,פרמטרים!$B$5+H4)</f>
        <v>3000</v>
      </c>
      <c r="J4" s="11" t="n">
        <f aca="false">IF(E4=0,0,E4-D4)</f>
        <v>1640</v>
      </c>
      <c r="K4" s="11" t="n">
        <f aca="false">J4-I4</f>
        <v>-1360</v>
      </c>
    </row>
    <row r="5" customFormat="false" ht="15" hidden="false" customHeight="false" outlineLevel="0" collapsed="false">
      <c r="A5" s="9" t="s">
        <v>31</v>
      </c>
      <c r="B5" s="5" t="n">
        <v>72000</v>
      </c>
      <c r="C5" s="10" t="n">
        <v>0</v>
      </c>
      <c r="D5" s="11" t="n">
        <f aca="false">B5*(1+פרמטרים!$B$8)</f>
        <v>73440</v>
      </c>
      <c r="E5" s="5" t="n">
        <v>78000</v>
      </c>
      <c r="F5" s="11" t="n">
        <f aca="false">D5*(1+פרמטרים!$B$7)</f>
        <v>75643.2</v>
      </c>
      <c r="G5" s="11" t="n">
        <f aca="false">IF(OR(C5=1,E5=0),0,MAX(0,E5-F5))</f>
        <v>2356.8</v>
      </c>
      <c r="H5" s="11" t="n">
        <f aca="false">פרמטרים!$B$6*G5</f>
        <v>471.360000000001</v>
      </c>
      <c r="I5" s="11" t="n">
        <f aca="false">MIN(פרמטרים!$B$9,פרמטרים!$B$5+H5)</f>
        <v>3471.36</v>
      </c>
      <c r="J5" s="11" t="n">
        <f aca="false">IF(E5=0,0,E5-D5)</f>
        <v>4560</v>
      </c>
      <c r="K5" s="11" t="n">
        <f aca="false">J5-I5</f>
        <v>1088.64</v>
      </c>
    </row>
    <row r="6" customFormat="false" ht="15" hidden="false" customHeight="false" outlineLevel="0" collapsed="false">
      <c r="A6" s="9" t="s">
        <v>32</v>
      </c>
      <c r="B6" s="5" t="n">
        <v>78000</v>
      </c>
      <c r="C6" s="10" t="n">
        <v>0</v>
      </c>
      <c r="D6" s="11" t="n">
        <f aca="false">B6*(1+פרמטרים!$B$8)</f>
        <v>79560</v>
      </c>
      <c r="E6" s="5" t="n">
        <v>84000</v>
      </c>
      <c r="F6" s="11" t="n">
        <f aca="false">D6*(1+פרמטרים!$B$7)</f>
        <v>81946.8</v>
      </c>
      <c r="G6" s="11" t="n">
        <f aca="false">IF(OR(C6=1,E6=0),0,MAX(0,E6-F6))</f>
        <v>2053.2</v>
      </c>
      <c r="H6" s="11" t="n">
        <f aca="false">פרמטרים!$B$6*G6</f>
        <v>410.639999999999</v>
      </c>
      <c r="I6" s="11" t="n">
        <f aca="false">MIN(פרמטרים!$B$9,פרמטרים!$B$5+H6)</f>
        <v>3410.64</v>
      </c>
      <c r="J6" s="11" t="n">
        <f aca="false">IF(E6=0,0,E6-D6)</f>
        <v>4440</v>
      </c>
      <c r="K6" s="11" t="n">
        <f aca="false">J6-I6</f>
        <v>1029.36</v>
      </c>
    </row>
    <row r="7" customFormat="false" ht="15" hidden="false" customHeight="false" outlineLevel="0" collapsed="false">
      <c r="A7" s="9" t="s">
        <v>33</v>
      </c>
      <c r="B7" s="5" t="n">
        <v>85000</v>
      </c>
      <c r="C7" s="10" t="n">
        <v>0</v>
      </c>
      <c r="D7" s="11" t="n">
        <f aca="false">B7*(1+פרמטרים!$B$8)</f>
        <v>86700</v>
      </c>
      <c r="E7" s="5" t="n">
        <v>91000</v>
      </c>
      <c r="F7" s="11" t="n">
        <f aca="false">D7*(1+פרמטרים!$B$7)</f>
        <v>89301</v>
      </c>
      <c r="G7" s="11" t="n">
        <f aca="false">IF(OR(C7=1,E7=0),0,MAX(0,E7-F7))</f>
        <v>1699</v>
      </c>
      <c r="H7" s="11" t="n">
        <f aca="false">פרמטרים!$B$6*G7</f>
        <v>339.8</v>
      </c>
      <c r="I7" s="11" t="n">
        <f aca="false">MIN(פרמטרים!$B$9,פרמטרים!$B$5+H7)</f>
        <v>3339.8</v>
      </c>
      <c r="J7" s="11" t="n">
        <f aca="false">IF(E7=0,0,E7-D7)</f>
        <v>4300</v>
      </c>
      <c r="K7" s="11" t="n">
        <f aca="false">J7-I7</f>
        <v>960.2</v>
      </c>
    </row>
    <row r="8" customFormat="false" ht="15" hidden="false" customHeight="false" outlineLevel="0" collapsed="false">
      <c r="A8" s="9" t="s">
        <v>34</v>
      </c>
      <c r="B8" s="5" t="n">
        <v>90000</v>
      </c>
      <c r="C8" s="10" t="n">
        <v>0</v>
      </c>
      <c r="D8" s="11" t="n">
        <f aca="false">B8*(1+פרמטרים!$B$8)</f>
        <v>91800</v>
      </c>
      <c r="E8" s="5" t="n">
        <v>97000</v>
      </c>
      <c r="F8" s="11" t="n">
        <f aca="false">D8*(1+פרמטרים!$B$7)</f>
        <v>94554</v>
      </c>
      <c r="G8" s="11" t="n">
        <f aca="false">IF(OR(C8=1,E8=0),0,MAX(0,E8-F8))</f>
        <v>2446</v>
      </c>
      <c r="H8" s="11" t="n">
        <f aca="false">פרמטרים!$B$6*G8</f>
        <v>489.2</v>
      </c>
      <c r="I8" s="11" t="n">
        <f aca="false">MIN(פרמטרים!$B$9,פרמטרים!$B$5+H8)</f>
        <v>3489.2</v>
      </c>
      <c r="J8" s="11" t="n">
        <f aca="false">IF(E8=0,0,E8-D8)</f>
        <v>5200</v>
      </c>
      <c r="K8" s="11" t="n">
        <f aca="false">J8-I8</f>
        <v>1710.8</v>
      </c>
    </row>
    <row r="9" customFormat="false" ht="15" hidden="false" customHeight="false" outlineLevel="0" collapsed="false">
      <c r="A9" s="9" t="s">
        <v>35</v>
      </c>
      <c r="B9" s="5" t="n">
        <v>92000</v>
      </c>
      <c r="C9" s="10" t="n">
        <v>0</v>
      </c>
      <c r="D9" s="11" t="n">
        <f aca="false">B9*(1+פרמטרים!$B$8)</f>
        <v>93840</v>
      </c>
      <c r="E9" s="5" t="n">
        <v>99000</v>
      </c>
      <c r="F9" s="11" t="n">
        <f aca="false">D9*(1+פרמטרים!$B$7)</f>
        <v>96655.2</v>
      </c>
      <c r="G9" s="11" t="n">
        <f aca="false">IF(OR(C9=1,E9=0),0,MAX(0,E9-F9))</f>
        <v>2344.8</v>
      </c>
      <c r="H9" s="11" t="n">
        <f aca="false">פרמטרים!$B$6*G9</f>
        <v>468.960000000001</v>
      </c>
      <c r="I9" s="11" t="n">
        <f aca="false">MIN(פרמטרים!$B$9,פרמטרים!$B$5+H9)</f>
        <v>3468.96</v>
      </c>
      <c r="J9" s="11" t="n">
        <f aca="false">IF(E9=0,0,E9-D9)</f>
        <v>5160</v>
      </c>
      <c r="K9" s="11" t="n">
        <f aca="false">J9-I9</f>
        <v>1691.04</v>
      </c>
    </row>
    <row r="10" customFormat="false" ht="15" hidden="false" customHeight="false" outlineLevel="0" collapsed="false">
      <c r="A10" s="9" t="s">
        <v>36</v>
      </c>
      <c r="B10" s="5" t="n">
        <v>80000</v>
      </c>
      <c r="C10" s="10" t="n">
        <v>0</v>
      </c>
      <c r="D10" s="11" t="n">
        <f aca="false">B10*(1+פרמטרים!$B$8)</f>
        <v>81600</v>
      </c>
      <c r="E10" s="5" t="n">
        <v>86000</v>
      </c>
      <c r="F10" s="11" t="n">
        <f aca="false">D10*(1+פרמטרים!$B$7)</f>
        <v>84048</v>
      </c>
      <c r="G10" s="11" t="n">
        <f aca="false">IF(OR(C10=1,E10=0),0,MAX(0,E10-F10))</f>
        <v>1952</v>
      </c>
      <c r="H10" s="11" t="n">
        <f aca="false">פרמטרים!$B$6*G10</f>
        <v>390.4</v>
      </c>
      <c r="I10" s="11" t="n">
        <f aca="false">MIN(פרמטרים!$B$9,פרמטרים!$B$5+H10)</f>
        <v>3390.4</v>
      </c>
      <c r="J10" s="11" t="n">
        <f aca="false">IF(E10=0,0,E10-D10)</f>
        <v>4400</v>
      </c>
      <c r="K10" s="11" t="n">
        <f aca="false">J10-I10</f>
        <v>1009.6</v>
      </c>
    </row>
    <row r="11" customFormat="false" ht="15" hidden="false" customHeight="false" outlineLevel="0" collapsed="false">
      <c r="A11" s="9" t="s">
        <v>37</v>
      </c>
      <c r="B11" s="5" t="n">
        <v>75000</v>
      </c>
      <c r="C11" s="10" t="n">
        <v>0</v>
      </c>
      <c r="D11" s="11" t="n">
        <f aca="false">B11*(1+פרמטרים!$B$8)</f>
        <v>76500</v>
      </c>
      <c r="E11" s="5" t="n">
        <v>0</v>
      </c>
      <c r="F11" s="11" t="n">
        <f aca="false">D11*(1+פרמטרים!$B$7)</f>
        <v>78795</v>
      </c>
      <c r="G11" s="11" t="n">
        <f aca="false">IF(OR(C11=1,E11=0),0,MAX(0,E11-F11))</f>
        <v>0</v>
      </c>
      <c r="H11" s="11" t="n">
        <f aca="false">פרמטרים!$B$6*G11</f>
        <v>0</v>
      </c>
      <c r="I11" s="11" t="n">
        <f aca="false">MIN(פרמטרים!$B$9,פרמטרים!$B$5+H11)</f>
        <v>3000</v>
      </c>
      <c r="J11" s="11" t="n">
        <f aca="false">IF(E11=0,0,E11-D11)</f>
        <v>0</v>
      </c>
      <c r="K11" s="11" t="n">
        <f aca="false">J11-I11</f>
        <v>-3000</v>
      </c>
    </row>
    <row r="12" customFormat="false" ht="15" hidden="false" customHeight="false" outlineLevel="0" collapsed="false">
      <c r="A12" s="9" t="s">
        <v>38</v>
      </c>
      <c r="B12" s="5" t="n">
        <v>66000</v>
      </c>
      <c r="C12" s="10" t="n">
        <v>0</v>
      </c>
      <c r="D12" s="11" t="n">
        <f aca="false">B12*(1+פרמטרים!$B$8)</f>
        <v>67320</v>
      </c>
      <c r="E12" s="5" t="n">
        <v>0</v>
      </c>
      <c r="F12" s="11" t="n">
        <f aca="false">D12*(1+פרמטרים!$B$7)</f>
        <v>69339.6</v>
      </c>
      <c r="G12" s="11" t="n">
        <f aca="false">IF(OR(C12=1,E12=0),0,MAX(0,E12-F12))</f>
        <v>0</v>
      </c>
      <c r="H12" s="11" t="n">
        <f aca="false">פרמטרים!$B$6*G12</f>
        <v>0</v>
      </c>
      <c r="I12" s="11" t="n">
        <f aca="false">MIN(פרמטרים!$B$9,פרמטרים!$B$5+H12)</f>
        <v>3000</v>
      </c>
      <c r="J12" s="11" t="n">
        <f aca="false">IF(E12=0,0,E12-D12)</f>
        <v>0</v>
      </c>
      <c r="K12" s="11" t="n">
        <f aca="false">J12-I12</f>
        <v>-3000</v>
      </c>
    </row>
    <row r="13" customFormat="false" ht="15" hidden="false" customHeight="false" outlineLevel="0" collapsed="false">
      <c r="A13" s="9" t="s">
        <v>39</v>
      </c>
      <c r="B13" s="5" t="n">
        <v>70000</v>
      </c>
      <c r="C13" s="10" t="n">
        <v>0</v>
      </c>
      <c r="D13" s="11" t="n">
        <f aca="false">B13*(1+פרמטרים!$B$8)</f>
        <v>71400</v>
      </c>
      <c r="E13" s="5" t="n">
        <v>0</v>
      </c>
      <c r="F13" s="11" t="n">
        <f aca="false">D13*(1+פרמטרים!$B$7)</f>
        <v>73542</v>
      </c>
      <c r="G13" s="11" t="n">
        <f aca="false">IF(OR(C13=1,E13=0),0,MAX(0,E13-F13))</f>
        <v>0</v>
      </c>
      <c r="H13" s="11" t="n">
        <f aca="false">פרמטרים!$B$6*G13</f>
        <v>0</v>
      </c>
      <c r="I13" s="11" t="n">
        <f aca="false">MIN(פרמטרים!$B$9,פרמטרים!$B$5+H13)</f>
        <v>3000</v>
      </c>
      <c r="J13" s="11" t="n">
        <f aca="false">IF(E13=0,0,E13-D13)</f>
        <v>0</v>
      </c>
      <c r="K13" s="11" t="n">
        <f aca="false">J13-I13</f>
        <v>-3000</v>
      </c>
    </row>
    <row r="14" customFormat="false" ht="15" hidden="false" customHeight="false" outlineLevel="0" collapsed="false">
      <c r="A14" s="12" t="s">
        <v>40</v>
      </c>
      <c r="B14" s="13" t="n">
        <f aca="false">SUM(B2:B13)</f>
        <v>898000</v>
      </c>
      <c r="D14" s="13" t="n">
        <f aca="false">SUM(D2:D13)</f>
        <v>915960</v>
      </c>
      <c r="E14" s="13" t="n">
        <f aca="false">SUM(E2:E13)</f>
        <v>731500</v>
      </c>
      <c r="G14" s="13" t="n">
        <f aca="false">SUM(G2:G13)</f>
        <v>12851.8</v>
      </c>
      <c r="H14" s="13" t="n">
        <f aca="false">SUM(H2:H13)</f>
        <v>2570.36</v>
      </c>
      <c r="I14" s="13" t="n">
        <f aca="false">MIN(פרמטרים!$B$10,SUM(I2:I13))</f>
        <v>38570.36</v>
      </c>
      <c r="J14" s="13" t="n">
        <f aca="false">SUM(J2:J13)</f>
        <v>30760</v>
      </c>
      <c r="K14" s="13" t="n">
        <f aca="false">J14-I14</f>
        <v>-7810.36</v>
      </c>
    </row>
    <row r="16" customFormat="false" ht="15" hidden="false" customHeight="false" outlineLevel="0" collapsed="false">
      <c r="A16" s="2" t="s">
        <v>41</v>
      </c>
    </row>
    <row r="17" customFormat="false" ht="15" hidden="false" customHeight="false" outlineLevel="0" collapsed="false">
      <c r="A17" s="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16.15" hidden="false" customHeight="false" outlineLevel="0" collapsed="false">
      <c r="A1" s="14" t="s">
        <v>43</v>
      </c>
    </row>
    <row r="3" customFormat="false" ht="15" hidden="false" customHeight="false" outlineLevel="0" collapsed="false">
      <c r="A3" s="3" t="s">
        <v>44</v>
      </c>
      <c r="B3" s="3" t="s">
        <v>45</v>
      </c>
      <c r="C3" s="3" t="s">
        <v>46</v>
      </c>
      <c r="D3" s="3" t="s">
        <v>47</v>
      </c>
    </row>
    <row r="4" customFormat="false" ht="15" hidden="false" customHeight="false" outlineLevel="0" collapsed="false">
      <c r="A4" s="4" t="s">
        <v>48</v>
      </c>
      <c r="B4" s="15" t="n">
        <v>0.02</v>
      </c>
      <c r="C4" s="15" t="n">
        <v>0.08</v>
      </c>
      <c r="D4" s="15" t="n">
        <v>0.15</v>
      </c>
    </row>
    <row r="5" customFormat="false" ht="15" hidden="false" customHeight="false" outlineLevel="0" collapsed="false">
      <c r="A5" s="4" t="s">
        <v>49</v>
      </c>
      <c r="B5" s="11" t="n">
        <f aca="false">SUM('חישוב חודשי'!D2:D13)*B4</f>
        <v>18319.2</v>
      </c>
      <c r="C5" s="11" t="n">
        <f aca="false">SUM('חישוב חודשי'!D2:D13)*C4</f>
        <v>73276.8</v>
      </c>
      <c r="D5" s="11" t="n">
        <f aca="false">SUM('חישוב חודשי'!D2:D13)*D4</f>
        <v>137394</v>
      </c>
    </row>
    <row r="6" customFormat="false" ht="15" hidden="false" customHeight="false" outlineLevel="0" collapsed="false">
      <c r="A6" s="4" t="s">
        <v>50</v>
      </c>
      <c r="B6" s="11" t="n">
        <f aca="false">MIN(פרמטרים!$B$10,SUM(B20:B31))</f>
        <v>36000</v>
      </c>
      <c r="C6" s="11" t="n">
        <f aca="false">MIN(פרמטרים!$B$10,SUM(C20:C31))</f>
        <v>45159.6</v>
      </c>
      <c r="D6" s="11" t="n">
        <f aca="false">MIN(פרמטרים!$B$10,SUM(D20:D31))</f>
        <v>57983.04</v>
      </c>
    </row>
    <row r="7" customFormat="false" ht="15" hidden="false" customHeight="false" outlineLevel="0" collapsed="false">
      <c r="A7" s="4" t="s">
        <v>51</v>
      </c>
      <c r="B7" s="11" t="n">
        <f aca="false">MIN(פרמטרים!$B$10,פרמטרים!$B$5*12)</f>
        <v>36000</v>
      </c>
      <c r="C7" s="11" t="n">
        <f aca="false">MIN(פרמטרים!$B$10,פרמטרים!$B$5*12)</f>
        <v>36000</v>
      </c>
      <c r="D7" s="11" t="n">
        <f aca="false">MIN(פרמטרים!$B$10,פרמטרים!$B$5*12)</f>
        <v>36000</v>
      </c>
    </row>
    <row r="8" customFormat="false" ht="15" hidden="false" customHeight="false" outlineLevel="0" collapsed="false">
      <c r="A8" s="4" t="s">
        <v>27</v>
      </c>
      <c r="B8" s="11" t="n">
        <f aca="false">B5-B6</f>
        <v>-17680.8</v>
      </c>
      <c r="C8" s="11" t="n">
        <f aca="false">C5-C6</f>
        <v>28117.2</v>
      </c>
      <c r="D8" s="11" t="n">
        <f aca="false">D5-D6</f>
        <v>79410.96</v>
      </c>
    </row>
    <row r="9" customFormat="false" ht="15" hidden="false" customHeight="false" outlineLevel="0" collapsed="false">
      <c r="A9" s="4" t="s">
        <v>52</v>
      </c>
      <c r="B9" s="16" t="n">
        <f aca="false">IF(B5=0,0,B6/B5)</f>
        <v>1.96515131665138</v>
      </c>
      <c r="C9" s="16" t="n">
        <f aca="false">IF(C5=0,0,C6/C5)</f>
        <v>0.616287829162846</v>
      </c>
      <c r="D9" s="16" t="n">
        <f aca="false">IF(D5=0,0,D6/D5)</f>
        <v>0.422020175553518</v>
      </c>
    </row>
    <row r="11" customFormat="false" ht="15" hidden="false" customHeight="false" outlineLevel="0" collapsed="false">
      <c r="A11" s="2" t="s">
        <v>53</v>
      </c>
    </row>
    <row r="19" customFormat="false" ht="15" hidden="false" customHeight="false" outlineLevel="0" collapsed="false">
      <c r="A19" s="2" t="s">
        <v>54</v>
      </c>
    </row>
    <row r="20" customFormat="false" ht="15" hidden="false" customHeight="false" outlineLevel="0" collapsed="false">
      <c r="A20" s="17" t="str">
        <f aca="false">'חישוב חודשי'!A2</f>
        <v>ינואר</v>
      </c>
      <c r="B20" s="18" t="n">
        <f aca="false">MIN(פרמטרים!$B$9,פרמטרים!$B$5+פרמטרים!$B$6*MAX(0,'חישוב חודשי'!D2*(1+B$4)-'חישוב חודשי'!D2*(1+פרמטרים!$B$7)))</f>
        <v>3000</v>
      </c>
      <c r="C20" s="18" t="n">
        <f aca="false">MIN(פרמטרים!$B$9,פרמטרים!$B$5+פרמטרים!$B$6*MAX(0,'חישוב חודשי'!D2*(1+C$4)-'חישוב חודשי'!D2*(1+פרמטרים!$B$7)))</f>
        <v>3632.4</v>
      </c>
      <c r="D20" s="18" t="n">
        <f aca="false">MIN(פרמטרים!$B$9,פרמטרים!$B$5+פרמטרים!$B$6*MAX(0,'חישוב חודשי'!D2*(1+D$4)-'חישוב חודשי'!D2*(1+פרמטרים!$B$7)))</f>
        <v>4517.76</v>
      </c>
    </row>
    <row r="21" customFormat="false" ht="15" hidden="false" customHeight="false" outlineLevel="0" collapsed="false">
      <c r="A21" s="17" t="str">
        <f aca="false">'חישוב חודשי'!A3</f>
        <v>פברואר</v>
      </c>
      <c r="B21" s="18" t="n">
        <f aca="false">MIN(פרמטרים!$B$9,פרמטרים!$B$5+פרמטרים!$B$6*MAX(0,'חישוב חודשי'!D3*(1+B$4)-'חישוב חודשי'!D3*(1+פרמטרים!$B$7)))</f>
        <v>3000</v>
      </c>
      <c r="C21" s="18" t="n">
        <f aca="false">MIN(פרמטרים!$B$9,פרמטרים!$B$5+פרמטרים!$B$6*MAX(0,'חישוב חודשי'!D3*(1+C$4)-'חישוב חודשי'!D3*(1+פרמטרים!$B$7)))</f>
        <v>3612</v>
      </c>
      <c r="D21" s="18" t="n">
        <f aca="false">MIN(פרמטרים!$B$9,פרמטרים!$B$5+פרמטרים!$B$6*MAX(0,'חישוב חודשי'!D3*(1+D$4)-'חישוב חודשי'!D3*(1+פרמטרים!$B$7)))</f>
        <v>4468.8</v>
      </c>
    </row>
    <row r="22" customFormat="false" ht="15" hidden="false" customHeight="false" outlineLevel="0" collapsed="false">
      <c r="A22" s="17" t="str">
        <f aca="false">'חישוב חודשי'!A4</f>
        <v>מרץ</v>
      </c>
      <c r="B22" s="18" t="n">
        <f aca="false">MIN(פרמטרים!$B$9,פרמטרים!$B$5+פרמטרים!$B$6*MAX(0,'חישוב חודשי'!D4*(1+B$4)-'חישוב חודשי'!D4*(1+פרמטרים!$B$7)))</f>
        <v>3000</v>
      </c>
      <c r="C22" s="18" t="n">
        <f aca="false">MIN(פרמטרים!$B$9,פרמטרים!$B$5+פרמטרים!$B$6*MAX(0,'חישוב חודשי'!D4*(1+C$4)-'חישוב חודשי'!D4*(1+פרמטרים!$B$7)))</f>
        <v>3693.6</v>
      </c>
      <c r="D22" s="18" t="n">
        <f aca="false">MIN(פרמטרים!$B$9,פרמטרים!$B$5+פרמטרים!$B$6*MAX(0,'חישוב חודשי'!D4*(1+D$4)-'חישוב חודשי'!D4*(1+פרמטרים!$B$7)))</f>
        <v>4664.64</v>
      </c>
    </row>
    <row r="23" customFormat="false" ht="15" hidden="false" customHeight="false" outlineLevel="0" collapsed="false">
      <c r="A23" s="17" t="str">
        <f aca="false">'חישוב חודשי'!A5</f>
        <v>אפריל</v>
      </c>
      <c r="B23" s="18" t="n">
        <f aca="false">MIN(פרמטרים!$B$9,פרמטרים!$B$5+פרמטרים!$B$6*MAX(0,'חישוב חודשי'!D5*(1+B$4)-'חישוב חודשי'!D5*(1+פרמטרים!$B$7)))</f>
        <v>3000</v>
      </c>
      <c r="C23" s="18" t="n">
        <f aca="false">MIN(פרמטרים!$B$9,פרמטרים!$B$5+פרמטרים!$B$6*MAX(0,'חישוב חודשי'!D5*(1+C$4)-'חישוב חודשי'!D5*(1+פרמטרים!$B$7)))</f>
        <v>3734.4</v>
      </c>
      <c r="D23" s="18" t="n">
        <f aca="false">MIN(פרמטרים!$B$9,פרמטרים!$B$5+פרמטרים!$B$6*MAX(0,'חישוב חודשי'!D5*(1+D$4)-'חישוב חודשי'!D5*(1+פרמטרים!$B$7)))</f>
        <v>4762.56</v>
      </c>
    </row>
    <row r="24" customFormat="false" ht="15" hidden="false" customHeight="false" outlineLevel="0" collapsed="false">
      <c r="A24" s="17" t="str">
        <f aca="false">'חישוב חודשי'!A6</f>
        <v>מאי</v>
      </c>
      <c r="B24" s="18" t="n">
        <f aca="false">MIN(פרמטרים!$B$9,פרמטרים!$B$5+פרמטרים!$B$6*MAX(0,'חישוב חודשי'!D6*(1+B$4)-'חישוב חודשי'!D6*(1+פרמטרים!$B$7)))</f>
        <v>3000</v>
      </c>
      <c r="C24" s="18" t="n">
        <f aca="false">MIN(פרמטרים!$B$9,פרמטרים!$B$5+פרמטרים!$B$6*MAX(0,'חישוב חודשי'!D6*(1+C$4)-'חישוב חודשי'!D6*(1+פרמטרים!$B$7)))</f>
        <v>3795.6</v>
      </c>
      <c r="D24" s="18" t="n">
        <f aca="false">MIN(פרמטרים!$B$9,פרמטרים!$B$5+פרמטרים!$B$6*MAX(0,'חישוב חודשי'!D6*(1+D$4)-'חישוב חודשי'!D6*(1+פרמטרים!$B$7)))</f>
        <v>4909.44</v>
      </c>
    </row>
    <row r="25" customFormat="false" ht="15" hidden="false" customHeight="false" outlineLevel="0" collapsed="false">
      <c r="A25" s="17" t="str">
        <f aca="false">'חישוב חודשי'!A7</f>
        <v>יוני</v>
      </c>
      <c r="B25" s="18" t="n">
        <f aca="false">MIN(פרמטרים!$B$9,פרמטרים!$B$5+פרמטרים!$B$6*MAX(0,'חישוב חודשי'!D7*(1+B$4)-'חישוב חודשי'!D7*(1+פרמטרים!$B$7)))</f>
        <v>3000</v>
      </c>
      <c r="C25" s="18" t="n">
        <f aca="false">MIN(פרמטרים!$B$9,פרמטרים!$B$5+פרמטרים!$B$6*MAX(0,'חישוב חודשי'!D7*(1+C$4)-'חישוב חודשי'!D7*(1+פרמטרים!$B$7)))</f>
        <v>3867</v>
      </c>
      <c r="D25" s="18" t="n">
        <f aca="false">MIN(פרמטרים!$B$9,פרמטרים!$B$5+פרמטרים!$B$6*MAX(0,'חישוב חודשי'!D7*(1+D$4)-'חישוב חודשי'!D7*(1+פרמטרים!$B$7)))</f>
        <v>5080.8</v>
      </c>
    </row>
    <row r="26" customFormat="false" ht="15" hidden="false" customHeight="false" outlineLevel="0" collapsed="false">
      <c r="A26" s="17" t="str">
        <f aca="false">'חישוב חודשי'!A8</f>
        <v>יולי</v>
      </c>
      <c r="B26" s="18" t="n">
        <f aca="false">MIN(פרמטרים!$B$9,פרמטרים!$B$5+פרמטרים!$B$6*MAX(0,'חישוב חודשי'!D8*(1+B$4)-'חישוב חודשי'!D8*(1+פרמטרים!$B$7)))</f>
        <v>3000</v>
      </c>
      <c r="C26" s="18" t="n">
        <f aca="false">MIN(פרמטרים!$B$9,פרמטרים!$B$5+פרמטרים!$B$6*MAX(0,'חישוב חודשי'!D8*(1+C$4)-'חישוב חודשי'!D8*(1+פרמטרים!$B$7)))</f>
        <v>3918</v>
      </c>
      <c r="D26" s="18" t="n">
        <f aca="false">MIN(פרמטרים!$B$9,פרמטרים!$B$5+פרמטרים!$B$6*MAX(0,'חישוב חודשי'!D8*(1+D$4)-'חישוב חודשי'!D8*(1+פרמטרים!$B$7)))</f>
        <v>5203.2</v>
      </c>
    </row>
    <row r="27" customFormat="false" ht="15" hidden="false" customHeight="false" outlineLevel="0" collapsed="false">
      <c r="A27" s="17" t="str">
        <f aca="false">'חישוב חודשי'!A9</f>
        <v>אוגוסט</v>
      </c>
      <c r="B27" s="18" t="n">
        <f aca="false">MIN(פרמטרים!$B$9,פרמטרים!$B$5+פרמטרים!$B$6*MAX(0,'חישוב חודשי'!D9*(1+B$4)-'חישוב חודשי'!D9*(1+פרמטרים!$B$7)))</f>
        <v>3000</v>
      </c>
      <c r="C27" s="18" t="n">
        <f aca="false">MIN(פרמטרים!$B$9,פרמטרים!$B$5+פרמטרים!$B$6*MAX(0,'חישוב חודשי'!D9*(1+C$4)-'חישוב חודשי'!D9*(1+פרמטרים!$B$7)))</f>
        <v>3938.4</v>
      </c>
      <c r="D27" s="18" t="n">
        <f aca="false">MIN(פרמטרים!$B$9,פרמטרים!$B$5+פרמטרים!$B$6*MAX(0,'חישוב חודשי'!D9*(1+D$4)-'חישוב חודשי'!D9*(1+פרמטרים!$B$7)))</f>
        <v>5252.16</v>
      </c>
    </row>
    <row r="28" customFormat="false" ht="15" hidden="false" customHeight="false" outlineLevel="0" collapsed="false">
      <c r="A28" s="17" t="str">
        <f aca="false">'חישוב חודשי'!A10</f>
        <v>ספטמבר</v>
      </c>
      <c r="B28" s="18" t="n">
        <f aca="false">MIN(פרמטרים!$B$9,פרמטרים!$B$5+פרמטרים!$B$6*MAX(0,'חישוב חודשי'!D10*(1+B$4)-'חישוב חודשי'!D10*(1+פרמטרים!$B$7)))</f>
        <v>3000</v>
      </c>
      <c r="C28" s="18" t="n">
        <f aca="false">MIN(פרמטרים!$B$9,פרמטרים!$B$5+פרמטרים!$B$6*MAX(0,'חישוב חודשי'!D10*(1+C$4)-'חישוב חודשי'!D10*(1+פרמטרים!$B$7)))</f>
        <v>3816</v>
      </c>
      <c r="D28" s="18" t="n">
        <f aca="false">MIN(פרמטרים!$B$9,פרמטרים!$B$5+פרמטרים!$B$6*MAX(0,'חישוב חודשי'!D10*(1+D$4)-'חישוב חודשי'!D10*(1+פרמטרים!$B$7)))</f>
        <v>4958.4</v>
      </c>
    </row>
    <row r="29" customFormat="false" ht="15" hidden="false" customHeight="false" outlineLevel="0" collapsed="false">
      <c r="A29" s="17" t="str">
        <f aca="false">'חישוב חודשי'!A11</f>
        <v>אוקטובר</v>
      </c>
      <c r="B29" s="18" t="n">
        <f aca="false">MIN(פרמטרים!$B$9,פרמטרים!$B$5+פרמטרים!$B$6*MAX(0,'חישוב חודשי'!D11*(1+B$4)-'חישוב חודשי'!D11*(1+פרמטרים!$B$7)))</f>
        <v>3000</v>
      </c>
      <c r="C29" s="18" t="n">
        <f aca="false">MIN(פרמטרים!$B$9,פרמטרים!$B$5+פרמטרים!$B$6*MAX(0,'חישוב חודשי'!D11*(1+C$4)-'חישוב חודשי'!D11*(1+פרמטרים!$B$7)))</f>
        <v>3765</v>
      </c>
      <c r="D29" s="18" t="n">
        <f aca="false">MIN(פרמטרים!$B$9,פרמטרים!$B$5+פרמטרים!$B$6*MAX(0,'חישוב חודשי'!D11*(1+D$4)-'חישוב חודשי'!D11*(1+פרמטרים!$B$7)))</f>
        <v>4836</v>
      </c>
    </row>
    <row r="30" customFormat="false" ht="15" hidden="false" customHeight="false" outlineLevel="0" collapsed="false">
      <c r="A30" s="17" t="str">
        <f aca="false">'חישוב חודשי'!A12</f>
        <v>נובמבר</v>
      </c>
      <c r="B30" s="18" t="n">
        <f aca="false">MIN(פרמטרים!$B$9,פרמטרים!$B$5+פרמטרים!$B$6*MAX(0,'חישוב חודשי'!D12*(1+B$4)-'חישוב חודשי'!D12*(1+פרמטרים!$B$7)))</f>
        <v>3000</v>
      </c>
      <c r="C30" s="18" t="n">
        <f aca="false">MIN(פרמטרים!$B$9,פרמטרים!$B$5+פרמטרים!$B$6*MAX(0,'חישוב חודשי'!D12*(1+C$4)-'חישוב חודשי'!D12*(1+פרמטרים!$B$7)))</f>
        <v>3673.2</v>
      </c>
      <c r="D30" s="18" t="n">
        <f aca="false">MIN(פרמטרים!$B$9,פרמטרים!$B$5+פרמטרים!$B$6*MAX(0,'חישוב חודשי'!D12*(1+D$4)-'חישוב חודשי'!D12*(1+פרמטרים!$B$7)))</f>
        <v>4615.68</v>
      </c>
    </row>
    <row r="31" customFormat="false" ht="15" hidden="false" customHeight="false" outlineLevel="0" collapsed="false">
      <c r="A31" s="17" t="str">
        <f aca="false">'חישוב חודשי'!A13</f>
        <v>דצמבר</v>
      </c>
      <c r="B31" s="18" t="n">
        <f aca="false">MIN(פרמטרים!$B$9,פרמטרים!$B$5+פרמטרים!$B$6*MAX(0,'חישוב חודשי'!D13*(1+B$4)-'חישוב חודשי'!D13*(1+פרמטרים!$B$7)))</f>
        <v>3000</v>
      </c>
      <c r="C31" s="18" t="n">
        <f aca="false">MIN(פרמטרים!$B$9,פרמטרים!$B$5+פרמטרים!$B$6*MAX(0,'חישוב חודשי'!D13*(1+C$4)-'חישוב חודשי'!D13*(1+פרמטרים!$B$7)))</f>
        <v>3714</v>
      </c>
      <c r="D31" s="18" t="n">
        <f aca="false">MIN(פרמטרים!$B$9,פרמטרים!$B$5+פרמטרים!$B$6*MAX(0,'חישוב חודשי'!D13*(1+D$4)-'חישוב חודשי'!D13*(1+פרמטרים!$B$7)))</f>
        <v>4713.6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2026-10-19T11:42:32Z</dcterms:created>
  <dc:creator>openpyxl</dc:creator>
  <dc:description/>
  <dc:language>en-US</dc:language>
  <cp:lastModifiedBy/>
  <dcterms:modified xsi:type="dcterms:W3CDTF">2026-10-19T11:42:32Z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